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"/>
    </mc:Choice>
  </mc:AlternateContent>
  <xr:revisionPtr revIDLastSave="0" documentId="8_{007A4779-FCD0-4A1E-8AA6-D33DF192BA6A}" xr6:coauthVersionLast="47" xr6:coauthVersionMax="47" xr10:uidLastSave="{00000000-0000-0000-0000-000000000000}"/>
  <bookViews>
    <workbookView xWindow="20370" yWindow="-120" windowWidth="19440" windowHeight="150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3" i="1"/>
  <c r="F14" i="1"/>
  <c r="F15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4" i="1"/>
  <c r="F45" i="1"/>
  <c r="B2" i="1"/>
  <c r="H8" i="1"/>
  <c r="J8" i="1" s="1"/>
  <c r="H9" i="1"/>
  <c r="J9" i="1" s="1"/>
  <c r="H10" i="1"/>
  <c r="J10" i="1" s="1"/>
  <c r="H11" i="1"/>
  <c r="J11" i="1" s="1"/>
  <c r="H12" i="1"/>
  <c r="J12" i="1" s="1"/>
  <c r="H13" i="1"/>
  <c r="J13" i="1" s="1"/>
  <c r="H14" i="1"/>
  <c r="J14" i="1" s="1"/>
  <c r="H17" i="1"/>
  <c r="J17" i="1" s="1"/>
  <c r="H20" i="1"/>
  <c r="J20" i="1" s="1"/>
  <c r="H22" i="1"/>
  <c r="J22" i="1" s="1"/>
  <c r="H26" i="1"/>
  <c r="J26" i="1" s="1"/>
  <c r="H28" i="1"/>
  <c r="J28" i="1" s="1"/>
  <c r="H30" i="1"/>
  <c r="J30" i="1" s="1"/>
  <c r="H33" i="1"/>
  <c r="J33" i="1" s="1"/>
  <c r="H36" i="1"/>
  <c r="J36" i="1" s="1"/>
  <c r="H38" i="1"/>
  <c r="J38" i="1" s="1"/>
  <c r="H40" i="1"/>
  <c r="J40" i="1" s="1"/>
  <c r="H43" i="1"/>
  <c r="J43" i="1" s="1"/>
  <c r="H46" i="1"/>
  <c r="J46" i="1" s="1"/>
  <c r="B43" i="1"/>
  <c r="B40" i="1"/>
  <c r="B33" i="1"/>
  <c r="B29" i="1"/>
  <c r="B26" i="1"/>
  <c r="B17" i="1"/>
  <c r="B12" i="1"/>
  <c r="I45" i="1"/>
  <c r="H45" i="1" s="1"/>
  <c r="J45" i="1" s="1"/>
  <c r="I44" i="1"/>
  <c r="H44" i="1" s="1"/>
  <c r="J44" i="1" s="1"/>
  <c r="I42" i="1"/>
  <c r="H42" i="1" s="1"/>
  <c r="J42" i="1" s="1"/>
  <c r="I41" i="1"/>
  <c r="H41" i="1" s="1"/>
  <c r="J41" i="1" s="1"/>
  <c r="I39" i="1"/>
  <c r="H39" i="1" s="1"/>
  <c r="J39" i="1" s="1"/>
  <c r="I37" i="1"/>
  <c r="H37" i="1" s="1"/>
  <c r="J37" i="1" s="1"/>
  <c r="I35" i="1"/>
  <c r="H35" i="1" s="1"/>
  <c r="J35" i="1" s="1"/>
  <c r="I34" i="1"/>
  <c r="H34" i="1" s="1"/>
  <c r="J34" i="1" s="1"/>
  <c r="I32" i="1"/>
  <c r="H32" i="1" s="1"/>
  <c r="J32" i="1" s="1"/>
  <c r="I31" i="1"/>
  <c r="H31" i="1" s="1"/>
  <c r="J31" i="1" s="1"/>
  <c r="I29" i="1"/>
  <c r="H29" i="1" s="1"/>
  <c r="J29" i="1" s="1"/>
  <c r="I27" i="1"/>
  <c r="H27" i="1" s="1"/>
  <c r="J27" i="1" s="1"/>
  <c r="I25" i="1"/>
  <c r="H25" i="1" s="1"/>
  <c r="J25" i="1" s="1"/>
  <c r="I24" i="1"/>
  <c r="H24" i="1" s="1"/>
  <c r="J24" i="1" s="1"/>
  <c r="I23" i="1"/>
  <c r="H23" i="1" s="1"/>
  <c r="J23" i="1" s="1"/>
  <c r="I21" i="1"/>
  <c r="H21" i="1" s="1"/>
  <c r="J21" i="1" s="1"/>
  <c r="I19" i="1"/>
  <c r="H19" i="1" s="1"/>
  <c r="J19" i="1" s="1"/>
  <c r="I18" i="1"/>
  <c r="H18" i="1" s="1"/>
  <c r="J18" i="1" s="1"/>
  <c r="I16" i="1"/>
  <c r="H16" i="1" s="1"/>
  <c r="J16" i="1" s="1"/>
  <c r="I15" i="1"/>
  <c r="H15" i="1" s="1"/>
  <c r="J15" i="1" s="1"/>
</calcChain>
</file>

<file path=xl/sharedStrings.xml><?xml version="1.0" encoding="utf-8"?>
<sst xmlns="http://schemas.openxmlformats.org/spreadsheetml/2006/main" count="213" uniqueCount="140">
  <si>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</si>
  <si>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</si>
  <si>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</si>
  <si>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</si>
  <si>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</si>
  <si>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</si>
  <si>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</si>
  <si>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</si>
  <si>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</si>
  <si>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</si>
  <si>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</si>
  <si>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</si>
  <si>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</si>
  <si>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</si>
  <si>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</si>
  <si>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</si>
  <si>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</si>
  <si>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</si>
  <si>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</si>
  <si>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</si>
  <si>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</si>
  <si>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</si>
  <si>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</si>
  <si>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</si>
  <si>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</si>
  <si>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</si>
  <si>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</si>
  <si>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</si>
  <si>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</si>
  <si>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</si>
  <si>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</si>
  <si>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</si>
  <si>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</si>
  <si>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</si>
  <si>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</si>
  <si>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</si>
  <si>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</si>
  <si>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</si>
  <si>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</si>
  <si>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</si>
  <si>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</si>
  <si>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</si>
  <si>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</si>
  <si>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</si>
  <si>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</si>
  <si>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</si>
  <si>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</si>
  <si>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</si>
  <si>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</si>
  <si>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</si>
  <si>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</si>
  <si>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</si>
  <si>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</si>
  <si>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</si>
  <si>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</si>
  <si>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</si>
  <si>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</si>
  <si>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</si>
  <si>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</si>
  <si>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</si>
  <si>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</si>
  <si>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</si>
  <si>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</si>
  <si>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</si>
  <si>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</si>
  <si>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</si>
  <si>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</si>
  <si>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</si>
  <si>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</si>
  <si>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</si>
  <si>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</si>
  <si>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</si>
  <si>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</si>
  <si>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</si>
  <si>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</si>
  <si>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</si>
  <si>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</si>
  <si>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</si>
  <si>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</si>
  <si>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</si>
  <si>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</si>
  <si>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</si>
  <si>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</si>
  <si>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</si>
  <si>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</si>
  <si>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</si>
  <si>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</si>
  <si>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</si>
  <si>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</si>
  <si>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</si>
  <si>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</si>
  <si>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</si>
  <si>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</si>
  <si>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</si>
  <si>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</si>
  <si>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</si>
  <si>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</si>
  <si>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</si>
  <si>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</si>
  <si>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</si>
  <si>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</si>
  <si>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</si>
  <si>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</si>
  <si>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</si>
  <si>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</si>
  <si>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</si>
  <si>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</si>
  <si>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</si>
  <si>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</si>
  <si>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</si>
  <si>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</si>
  <si>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</si>
  <si>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</si>
  <si>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</si>
  <si>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</si>
  <si>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</si>
  <si>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</si>
  <si>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</si>
  <si>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</si>
  <si>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</si>
  <si>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</si>
  <si>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</si>
  <si>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</si>
  <si>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</si>
  <si>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</si>
  <si>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</si>
  <si>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</si>
  <si>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</si>
  <si>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</si>
  <si>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</si>
  <si>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</si>
  <si>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</si>
  <si>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</si>
  <si>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</si>
  <si>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Mean Age</t>
  </si>
  <si>
    <t>Raw 13,23 removed bcs name and id are missing</t>
  </si>
  <si>
    <t>Concat</t>
  </si>
  <si>
    <t>91_xxx</t>
  </si>
  <si>
    <t>Address not Available)</t>
  </si>
  <si>
    <t>Dept_Col_Cleaning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</si>
</sst>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3" fillId="2" borderId="0" xfId="0" applyFont="1" applyFill="1"/>
    <xf numFmtId="0" fontId="0" fillId="2" borderId="0" xfId="0" applyFill="1"/>
    <xf numFmtId="0" fontId="2" fillId="0" borderId="0" xfId="0" applyFont="1"/>
    <xf numFmtId="0" fontId="2" fillId="0" borderId="0" xfId="0" applyFont="1" applyAlignment="1"/>
    <xf numFmtId="0" fontId="1" fillId="3" borderId="0" xfId="0" applyFont="1" applyFill="1"/>
    <xf numFmtId="0" fontId="0" fillId="3" borderId="0" xfId="0" applyFill="1"/>
    <xf numFmtId="0" fontId="2" fillId="0" borderId="0" xfId="0" applyFont="1" applyAlignment="1">
      <alignment wrapText="1"/>
    </xf>
    <xf numFmtId="0" fontId="1" fillId="2" borderId="0" xfId="0" applyFont="1" applyFill="1" applyAlignment="1">
      <alignment wrapText="1"/>
    </xf>
  </cellXfs>
  <cellStyles count="1">
    <cellStyle name="Normal" xfId="0" builtinId="0"/>
  </cellStyles>
  <dxfs count="15"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>
          <fgColor indexed="64"/>
          <bgColor theme="7" tint="0.59999389629810485"/>
        </patternFill>
      </fill>
    </dxf>
    <dxf>
      <numFmt numFmtId="0" formatCode="General"/>
      <fill>
        <patternFill>
          <fgColor indexed="64"/>
          <bgColor theme="7" tint="0.59999389629810485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0</xdr:row>
      <xdr:rowOff>114300</xdr:rowOff>
    </xdr:from>
    <xdr:to>
      <xdr:col>8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7:L46" totalsRowShown="0" headerRowDxfId="14" dataDxfId="13">
  <autoFilter ref="A7:L46" xr:uid="{571E5664-3A18-422E-AB49-8BBF00D55019}"/>
  <tableColumns count="12">
    <tableColumn id="1" xr3:uid="{0F186AC9-7116-4750-8350-32E39657BDEF}" name="Id" dataDxfId="12"/>
    <tableColumn id="2" xr3:uid="{587ADADF-3A31-4671-AAB2-636A2204C2A1}" name="Name" dataDxfId="11"/>
    <tableColumn id="3" xr3:uid="{D20B21E4-141B-4F80-B509-FFFDBDDDD7F4}" name="Age" dataDxfId="10"/>
    <tableColumn id="4" xr3:uid="{988050FD-7A13-4567-B7F1-B83DFF6C50D6}" name="Gender" dataDxfId="9"/>
    <tableColumn id="5" xr3:uid="{71DD8E56-AB70-41BA-BE06-62EA46C80DEC}" name="Department" dataDxfId="8"/>
    <tableColumn id="12" xr3:uid="{F7124C6F-8F38-4657-9754-FF96E6FC2198}" name="Dept_Col_Cleaning" dataDxfId="0">
      <calculatedColumnFormula>PROPER(Table1[[#This Row],[Department]])</calculatedColumnFormula>
    </tableColumn>
    <tableColumn id="6" xr3:uid="{C20650CA-3DDE-4C63-83CA-462380F46BB4}" name="Email" dataDxfId="5"/>
    <tableColumn id="11" xr3:uid="{13C4D7CA-2AD3-4A30-9B56-39E6F713150E}" name="Concat" dataDxfId="3">
      <calculatedColumnFormula>_xlfn.CONCAT("91",Table1[[#This Row],[Phone]])</calculatedColumnFormula>
    </tableColumn>
    <tableColumn id="7" xr3:uid="{9F3F4B7E-0B29-4F47-944B-C89BC5596DA2}" name="Phone" dataDxfId="4"/>
    <tableColumn id="10" xr3:uid="{2F9CB431-6F97-4CB8-8A7A-57A3A8D597F1}" name="91_xxx" dataDxfId="2">
      <calculatedColumnFormula>_xlfn.CONCAT(LEFT(Table1[[#This Row],[Concat]],2),"xxxxx")</calculatedColumnFormula>
    </tableColumn>
    <tableColumn id="8" xr3:uid="{9894F713-829B-4BE3-B5D2-22F23DA72823}" name="Address" dataDxfId="6"/>
    <tableColumn id="9" xr3:uid="{69CDA7D3-FED4-49AB-9173-918B9E817F84}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A2:L46"/>
  <sheetViews>
    <sheetView tabSelected="1" workbookViewId="0">
      <selection activeCell="A2" sqref="A2"/>
    </sheetView>
  </sheetViews>
  <sheetFormatPr defaultRowHeight="15" x14ac:dyDescent="0.25"/>
  <cols>
    <col min="1" max="1" width="15.5703125" customWidth="1"/>
    <col min="2" max="2" width="15.140625" bestFit="1" customWidth="1"/>
    <col min="3" max="3" width="22.28515625" customWidth="1"/>
    <col min="4" max="4" width="35.42578125" customWidth="1"/>
    <col min="5" max="5" width="16.85546875" bestFit="1" customWidth="1"/>
    <col min="6" max="6" width="19.42578125" customWidth="1"/>
    <col min="7" max="7" width="27.140625" bestFit="1" customWidth="1"/>
    <col min="8" max="8" width="13" customWidth="1"/>
    <col min="9" max="9" width="13.85546875" bestFit="1" customWidth="1"/>
    <col min="10" max="10" width="13.85546875" customWidth="1"/>
    <col min="11" max="11" width="15.28515625" customWidth="1"/>
    <col min="12" max="12" width="8.7109375" bestFit="1" customWidth="1"/>
  </cols>
  <sheetData>
    <row r="2" spans="1:12" x14ac:dyDescent="0.25">
      <c r="A2" s="4" t="s">
        <v>134</v>
      </c>
      <c r="B2" s="4">
        <f>AVERAGE(Table1[Age])</f>
        <v>29.666666666666668</v>
      </c>
      <c r="C2" s="4"/>
      <c r="D2" s="4"/>
    </row>
    <row r="3" spans="1:12" ht="60" x14ac:dyDescent="0.25">
      <c r="A3" s="8" t="s">
        <v>135</v>
      </c>
      <c r="B3" s="8"/>
      <c r="C3" s="5"/>
      <c r="D3" s="4"/>
    </row>
    <row r="7" spans="1:12" ht="27" customHeight="1" x14ac:dyDescent="0.3">
      <c r="A7" s="1" t="s">
        <v>1</v>
      </c>
      <c r="B7" s="1" t="s">
        <v>0</v>
      </c>
      <c r="C7" s="1" t="s">
        <v>2</v>
      </c>
      <c r="D7" s="1" t="s">
        <v>3</v>
      </c>
      <c r="E7" s="1" t="s">
        <v>118</v>
      </c>
      <c r="F7" s="9" t="s">
        <v>139</v>
      </c>
      <c r="G7" s="1" t="s">
        <v>4</v>
      </c>
      <c r="H7" s="6" t="s">
        <v>136</v>
      </c>
      <c r="I7" s="1" t="s">
        <v>5</v>
      </c>
      <c r="J7" s="6" t="s">
        <v>137</v>
      </c>
      <c r="K7" s="1" t="s">
        <v>6</v>
      </c>
      <c r="L7" s="1" t="s">
        <v>112</v>
      </c>
    </row>
    <row r="8" spans="1:12" x14ac:dyDescent="0.25">
      <c r="A8">
        <v>1</v>
      </c>
      <c r="B8" t="s">
        <v>20</v>
      </c>
      <c r="C8">
        <v>32</v>
      </c>
      <c r="D8" t="s">
        <v>7</v>
      </c>
      <c r="E8" t="s">
        <v>125</v>
      </c>
      <c r="F8" t="str">
        <f>PROPER(Table1[[#This Row],[Department]])</f>
        <v>Operations</v>
      </c>
      <c r="G8" t="s">
        <v>21</v>
      </c>
      <c r="H8" s="7" t="str">
        <f>_xlfn.CONCAT("91",Table1[[#This Row],[Phone]])</f>
        <v>9191-1234567890</v>
      </c>
      <c r="I8" t="s">
        <v>113</v>
      </c>
      <c r="J8" s="7" t="str">
        <f>_xlfn.CONCAT(LEFT(Table1[[#This Row],[Concat]],2),"xxxxx")</f>
        <v>91xxxxx</v>
      </c>
      <c r="K8" t="s">
        <v>22</v>
      </c>
      <c r="L8">
        <v>4553</v>
      </c>
    </row>
    <row r="9" spans="1:12" x14ac:dyDescent="0.25">
      <c r="A9">
        <v>2</v>
      </c>
      <c r="B9" t="s">
        <v>23</v>
      </c>
      <c r="C9">
        <v>28</v>
      </c>
      <c r="D9" t="s">
        <v>8</v>
      </c>
      <c r="E9" t="s">
        <v>126</v>
      </c>
      <c r="F9" t="str">
        <f>PROPER(Table1[[#This Row],[Department]])</f>
        <v>It Department</v>
      </c>
      <c r="G9" t="s">
        <v>24</v>
      </c>
      <c r="H9" s="7" t="str">
        <f>_xlfn.CONCAT("91",Table1[[#This Row],[Phone]])</f>
        <v>9191-9876543210</v>
      </c>
      <c r="I9" t="s">
        <v>114</v>
      </c>
      <c r="J9" s="7" t="str">
        <f>_xlfn.CONCAT(LEFT(Table1[[#This Row],[Concat]],2),"xxxxx")</f>
        <v>91xxxxx</v>
      </c>
      <c r="K9" t="s">
        <v>25</v>
      </c>
      <c r="L9">
        <v>31169</v>
      </c>
    </row>
    <row r="10" spans="1:12" x14ac:dyDescent="0.25">
      <c r="A10">
        <v>3</v>
      </c>
      <c r="B10" t="s">
        <v>26</v>
      </c>
      <c r="C10">
        <v>27</v>
      </c>
      <c r="D10" t="s">
        <v>7</v>
      </c>
      <c r="E10" t="s">
        <v>119</v>
      </c>
      <c r="F10" t="str">
        <f>PROPER(Table1[[#This Row],[Department]])</f>
        <v>It Devlopement</v>
      </c>
      <c r="G10" t="s">
        <v>27</v>
      </c>
      <c r="H10" s="7" t="str">
        <f>_xlfn.CONCAT("91",Table1[[#This Row],[Phone]])</f>
        <v>9191-8765432109</v>
      </c>
      <c r="I10" t="s">
        <v>115</v>
      </c>
      <c r="J10" s="7" t="str">
        <f>_xlfn.CONCAT(LEFT(Table1[[#This Row],[Concat]],2),"xxxxx")</f>
        <v>91xxxxx</v>
      </c>
      <c r="K10" t="s">
        <v>28</v>
      </c>
      <c r="L10">
        <v>11116</v>
      </c>
    </row>
    <row r="11" spans="1:12" x14ac:dyDescent="0.25">
      <c r="A11">
        <v>4</v>
      </c>
      <c r="B11" t="s">
        <v>29</v>
      </c>
      <c r="C11">
        <v>33</v>
      </c>
      <c r="D11" t="s">
        <v>8</v>
      </c>
      <c r="E11" t="s">
        <v>120</v>
      </c>
      <c r="F11" t="str">
        <f>PROPER(Table1[[#This Row],[Department]])</f>
        <v>Sales</v>
      </c>
      <c r="G11" t="s">
        <v>30</v>
      </c>
      <c r="H11" s="7" t="str">
        <f>_xlfn.CONCAT("91",Table1[[#This Row],[Phone]])</f>
        <v>9191-5555555555</v>
      </c>
      <c r="I11" t="s">
        <v>116</v>
      </c>
      <c r="J11" s="7" t="str">
        <f>_xlfn.CONCAT(LEFT(Table1[[#This Row],[Concat]],2),"xxxxx")</f>
        <v>91xxxxx</v>
      </c>
      <c r="K11" t="s">
        <v>31</v>
      </c>
      <c r="L11">
        <v>33457</v>
      </c>
    </row>
    <row r="12" spans="1:12" x14ac:dyDescent="0.25">
      <c r="A12">
        <v>5</v>
      </c>
      <c r="B12" s="3" t="str">
        <f>LEFT(Table1[[#This Row],[Email]],FIND("@",Table1[[#This Row],[Email]])-1)</f>
        <v>jane.doe</v>
      </c>
      <c r="C12">
        <v>29</v>
      </c>
      <c r="D12" t="s">
        <v>8</v>
      </c>
      <c r="E12" t="s">
        <v>121</v>
      </c>
      <c r="F12" t="s">
        <v>127</v>
      </c>
      <c r="G12" t="s">
        <v>32</v>
      </c>
      <c r="H12" s="7" t="str">
        <f>_xlfn.CONCAT("91",Table1[[#This Row],[Phone]])</f>
        <v>91</v>
      </c>
      <c r="J12" s="7" t="str">
        <f>_xlfn.CONCAT(LEFT(Table1[[#This Row],[Concat]],2),"xxxxx")</f>
        <v>91xxxxx</v>
      </c>
      <c r="K12" s="7" t="s">
        <v>138</v>
      </c>
      <c r="L12">
        <v>21918</v>
      </c>
    </row>
    <row r="13" spans="1:12" x14ac:dyDescent="0.25">
      <c r="A13">
        <v>6</v>
      </c>
      <c r="B13" t="s">
        <v>33</v>
      </c>
      <c r="C13">
        <v>34</v>
      </c>
      <c r="D13" t="s">
        <v>7</v>
      </c>
      <c r="E13" t="s">
        <v>132</v>
      </c>
      <c r="F13" t="str">
        <f>PROPER(Table1[[#This Row],[Department]])</f>
        <v>Data Science</v>
      </c>
      <c r="G13" t="s">
        <v>34</v>
      </c>
      <c r="H13" s="7" t="str">
        <f>_xlfn.CONCAT("91",Table1[[#This Row],[Phone]])</f>
        <v>91</v>
      </c>
      <c r="J13" s="7" t="str">
        <f>_xlfn.CONCAT(LEFT(Table1[[#This Row],[Concat]],2),"xxxxx")</f>
        <v>91xxxxx</v>
      </c>
      <c r="K13" t="s">
        <v>35</v>
      </c>
      <c r="L13">
        <v>33418</v>
      </c>
    </row>
    <row r="14" spans="1:12" x14ac:dyDescent="0.25">
      <c r="A14">
        <v>7</v>
      </c>
      <c r="B14" t="s">
        <v>36</v>
      </c>
      <c r="C14">
        <v>25</v>
      </c>
      <c r="D14" t="s">
        <v>8</v>
      </c>
      <c r="E14" t="s">
        <v>119</v>
      </c>
      <c r="F14" t="str">
        <f>PROPER(Table1[[#This Row],[Department]])</f>
        <v>It Devlopement</v>
      </c>
      <c r="H14" s="7" t="str">
        <f>_xlfn.CONCAT("91",Table1[[#This Row],[Phone]])</f>
        <v>9191-9999999999</v>
      </c>
      <c r="I14" t="s">
        <v>117</v>
      </c>
      <c r="J14" s="7" t="str">
        <f>_xlfn.CONCAT(LEFT(Table1[[#This Row],[Concat]],2),"xxxxx")</f>
        <v>91xxxxx</v>
      </c>
      <c r="K14" t="s">
        <v>37</v>
      </c>
      <c r="L14">
        <v>45828</v>
      </c>
    </row>
    <row r="15" spans="1:12" x14ac:dyDescent="0.25">
      <c r="A15">
        <v>8</v>
      </c>
      <c r="B15" t="s">
        <v>38</v>
      </c>
      <c r="C15">
        <v>31</v>
      </c>
      <c r="D15" t="s">
        <v>7</v>
      </c>
      <c r="E15" t="s">
        <v>120</v>
      </c>
      <c r="F15" t="str">
        <f>PROPER(Table1[[#This Row],[Department]])</f>
        <v>Sales</v>
      </c>
      <c r="G15" t="s">
        <v>39</v>
      </c>
      <c r="H15" s="7" t="str">
        <f>_xlfn.CONCAT("91",Table1[[#This Row],[Phone]])</f>
        <v>91-8888888797</v>
      </c>
      <c r="I15">
        <f>91-8888888888</f>
        <v>-8888888797</v>
      </c>
      <c r="J15" s="7" t="str">
        <f>_xlfn.CONCAT(LEFT(Table1[[#This Row],[Concat]],2),"xxxxx")</f>
        <v>91xxxxx</v>
      </c>
      <c r="K15" s="7" t="s">
        <v>138</v>
      </c>
      <c r="L15">
        <v>45450</v>
      </c>
    </row>
    <row r="16" spans="1:12" x14ac:dyDescent="0.25">
      <c r="A16">
        <v>9</v>
      </c>
      <c r="B16" t="s">
        <v>40</v>
      </c>
      <c r="C16">
        <v>27</v>
      </c>
      <c r="D16" t="s">
        <v>8</v>
      </c>
      <c r="E16" t="s">
        <v>121</v>
      </c>
      <c r="F16" t="s">
        <v>127</v>
      </c>
      <c r="G16" t="s">
        <v>41</v>
      </c>
      <c r="H16" s="7" t="str">
        <f>_xlfn.CONCAT("91",Table1[[#This Row],[Phone]])</f>
        <v>91-7777777686</v>
      </c>
      <c r="I16">
        <f>91-7777777777</f>
        <v>-7777777686</v>
      </c>
      <c r="J16" s="7" t="str">
        <f>_xlfn.CONCAT(LEFT(Table1[[#This Row],[Concat]],2),"xxxxx")</f>
        <v>91xxxxx</v>
      </c>
      <c r="K16" t="s">
        <v>42</v>
      </c>
      <c r="L16">
        <v>49938</v>
      </c>
    </row>
    <row r="17" spans="1:12" x14ac:dyDescent="0.25">
      <c r="A17">
        <v>10</v>
      </c>
      <c r="B17" s="3" t="str">
        <f>LEFT(Table1[[#This Row],[Email]],FIND("@",Table1[[#This Row],[Email]])-1)</f>
        <v>naveen.sharma</v>
      </c>
      <c r="C17">
        <v>35</v>
      </c>
      <c r="D17" t="s">
        <v>7</v>
      </c>
      <c r="E17" t="s">
        <v>125</v>
      </c>
      <c r="F17" t="str">
        <f>PROPER(Table1[[#This Row],[Department]])</f>
        <v>Operations</v>
      </c>
      <c r="G17" t="s">
        <v>43</v>
      </c>
      <c r="H17" s="7" t="str">
        <f>_xlfn.CONCAT("91",Table1[[#This Row],[Phone]])</f>
        <v>91</v>
      </c>
      <c r="J17" s="7" t="str">
        <f>_xlfn.CONCAT(LEFT(Table1[[#This Row],[Concat]],2),"xxxxx")</f>
        <v>91xxxxx</v>
      </c>
      <c r="K17" t="s">
        <v>44</v>
      </c>
      <c r="L17">
        <v>9818</v>
      </c>
    </row>
    <row r="18" spans="1:12" ht="15.75" x14ac:dyDescent="0.25">
      <c r="A18">
        <v>11</v>
      </c>
      <c r="B18" t="s">
        <v>45</v>
      </c>
      <c r="C18" s="2">
        <v>29.5</v>
      </c>
      <c r="D18" t="s">
        <v>8</v>
      </c>
      <c r="E18" t="s">
        <v>126</v>
      </c>
      <c r="F18" t="str">
        <f>PROPER(Table1[[#This Row],[Department]])</f>
        <v>It Department</v>
      </c>
      <c r="G18" t="s">
        <v>46</v>
      </c>
      <c r="H18" s="7" t="str">
        <f>_xlfn.CONCAT("91",Table1[[#This Row],[Phone]])</f>
        <v>91-6666666575</v>
      </c>
      <c r="I18">
        <f>91-6666666666</f>
        <v>-6666666575</v>
      </c>
      <c r="J18" s="7" t="str">
        <f>_xlfn.CONCAT(LEFT(Table1[[#This Row],[Concat]],2),"xxxxx")</f>
        <v>91xxxxx</v>
      </c>
      <c r="K18" t="s">
        <v>47</v>
      </c>
      <c r="L18">
        <v>41836</v>
      </c>
    </row>
    <row r="19" spans="1:12" x14ac:dyDescent="0.25">
      <c r="A19">
        <v>12</v>
      </c>
      <c r="B19" t="s">
        <v>48</v>
      </c>
      <c r="C19">
        <v>29</v>
      </c>
      <c r="D19" t="s">
        <v>7</v>
      </c>
      <c r="E19" t="s">
        <v>126</v>
      </c>
      <c r="F19" t="str">
        <f>PROPER(Table1[[#This Row],[Department]])</f>
        <v>It Department</v>
      </c>
      <c r="G19" t="s">
        <v>49</v>
      </c>
      <c r="H19" s="7" t="str">
        <f>_xlfn.CONCAT("91",Table1[[#This Row],[Phone]])</f>
        <v>91-5555555464</v>
      </c>
      <c r="I19">
        <f>91-5555555555</f>
        <v>-5555555464</v>
      </c>
      <c r="J19" s="7" t="str">
        <f>_xlfn.CONCAT(LEFT(Table1[[#This Row],[Concat]],2),"xxxxx")</f>
        <v>91xxxxx</v>
      </c>
      <c r="K19" t="s">
        <v>50</v>
      </c>
      <c r="L19">
        <v>11901</v>
      </c>
    </row>
    <row r="20" spans="1:12" x14ac:dyDescent="0.25">
      <c r="A20">
        <v>24</v>
      </c>
      <c r="B20" t="s">
        <v>9</v>
      </c>
      <c r="C20">
        <v>29</v>
      </c>
      <c r="D20" t="s">
        <v>7</v>
      </c>
      <c r="E20" t="s">
        <v>125</v>
      </c>
      <c r="F20" t="str">
        <f>PROPER(Table1[[#This Row],[Department]])</f>
        <v>Operations</v>
      </c>
      <c r="G20" t="s">
        <v>10</v>
      </c>
      <c r="H20" s="7" t="str">
        <f>_xlfn.CONCAT("91",Table1[[#This Row],[Phone]])</f>
        <v>9191-6666666666</v>
      </c>
      <c r="I20" t="s">
        <v>133</v>
      </c>
      <c r="J20" s="7" t="str">
        <f>_xlfn.CONCAT(LEFT(Table1[[#This Row],[Concat]],2),"xxxxx")</f>
        <v>91xxxxx</v>
      </c>
      <c r="K20" s="7" t="s">
        <v>138</v>
      </c>
      <c r="L20">
        <v>15853</v>
      </c>
    </row>
    <row r="21" spans="1:12" ht="15.75" x14ac:dyDescent="0.25">
      <c r="A21">
        <v>25</v>
      </c>
      <c r="B21" t="s">
        <v>11</v>
      </c>
      <c r="C21" s="2">
        <v>29.5</v>
      </c>
      <c r="D21" t="s">
        <v>8</v>
      </c>
      <c r="E21" t="s">
        <v>126</v>
      </c>
      <c r="F21" t="str">
        <f>PROPER(Table1[[#This Row],[Department]])</f>
        <v>It Department</v>
      </c>
      <c r="G21" t="s">
        <v>12</v>
      </c>
      <c r="H21" s="7" t="str">
        <f>_xlfn.CONCAT("91",Table1[[#This Row],[Phone]])</f>
        <v>91-5555555464</v>
      </c>
      <c r="I21">
        <f>91-5555555555</f>
        <v>-5555555464</v>
      </c>
      <c r="J21" s="7" t="str">
        <f>_xlfn.CONCAT(LEFT(Table1[[#This Row],[Concat]],2),"xxxxx")</f>
        <v>91xxxxx</v>
      </c>
      <c r="K21" t="s">
        <v>13</v>
      </c>
      <c r="L21">
        <v>6926</v>
      </c>
    </row>
    <row r="22" spans="1:12" x14ac:dyDescent="0.25">
      <c r="A22">
        <v>26</v>
      </c>
      <c r="B22" t="s">
        <v>14</v>
      </c>
      <c r="C22">
        <v>31</v>
      </c>
      <c r="D22" t="s">
        <v>7</v>
      </c>
      <c r="E22" t="s">
        <v>129</v>
      </c>
      <c r="F22" t="str">
        <f>PROPER(Table1[[#This Row],[Department]])</f>
        <v>Finance/Accounts</v>
      </c>
      <c r="G22" t="s">
        <v>15</v>
      </c>
      <c r="H22" s="7" t="str">
        <f>_xlfn.CONCAT("91",Table1[[#This Row],[Phone]])</f>
        <v>91</v>
      </c>
      <c r="J22" s="7" t="str">
        <f>_xlfn.CONCAT(LEFT(Table1[[#This Row],[Concat]],2),"xxxxx")</f>
        <v>91xxxxx</v>
      </c>
      <c r="K22" t="s">
        <v>16</v>
      </c>
      <c r="L22">
        <v>45678</v>
      </c>
    </row>
    <row r="23" spans="1:12" x14ac:dyDescent="0.25">
      <c r="A23">
        <v>27</v>
      </c>
      <c r="B23" t="s">
        <v>17</v>
      </c>
      <c r="C23">
        <v>28</v>
      </c>
      <c r="D23" t="s">
        <v>8</v>
      </c>
      <c r="E23" t="s">
        <v>130</v>
      </c>
      <c r="F23" t="str">
        <f>PROPER(Table1[[#This Row],[Department]])</f>
        <v>Mangement</v>
      </c>
      <c r="G23" t="s">
        <v>18</v>
      </c>
      <c r="H23" s="7" t="str">
        <f>_xlfn.CONCAT("91",Table1[[#This Row],[Phone]])</f>
        <v>91-7777777686</v>
      </c>
      <c r="I23">
        <f>91-7777777777</f>
        <v>-7777777686</v>
      </c>
      <c r="J23" s="7" t="str">
        <f>_xlfn.CONCAT(LEFT(Table1[[#This Row],[Concat]],2),"xxxxx")</f>
        <v>91xxxxx</v>
      </c>
      <c r="K23" t="s">
        <v>19</v>
      </c>
      <c r="L23">
        <v>8022</v>
      </c>
    </row>
    <row r="24" spans="1:12" x14ac:dyDescent="0.25">
      <c r="A24">
        <v>28</v>
      </c>
      <c r="B24" t="s">
        <v>51</v>
      </c>
      <c r="C24">
        <v>34</v>
      </c>
      <c r="D24" t="s">
        <v>7</v>
      </c>
      <c r="E24" t="s">
        <v>131</v>
      </c>
      <c r="F24" t="str">
        <f>PROPER(Table1[[#This Row],[Department]])</f>
        <v>Data Science</v>
      </c>
      <c r="G24" t="s">
        <v>52</v>
      </c>
      <c r="H24" s="7" t="str">
        <f>_xlfn.CONCAT("91",Table1[[#This Row],[Phone]])</f>
        <v>91-8888888797</v>
      </c>
      <c r="I24">
        <f>91-8888888888</f>
        <v>-8888888797</v>
      </c>
      <c r="J24" s="7" t="str">
        <f>_xlfn.CONCAT(LEFT(Table1[[#This Row],[Concat]],2),"xxxxx")</f>
        <v>91xxxxx</v>
      </c>
      <c r="K24" t="s">
        <v>53</v>
      </c>
      <c r="L24">
        <v>3484</v>
      </c>
    </row>
    <row r="25" spans="1:12" x14ac:dyDescent="0.25">
      <c r="A25">
        <v>29</v>
      </c>
      <c r="B25" t="s">
        <v>54</v>
      </c>
      <c r="C25">
        <v>26</v>
      </c>
      <c r="D25" t="s">
        <v>8</v>
      </c>
      <c r="E25" t="s">
        <v>119</v>
      </c>
      <c r="F25" t="str">
        <f>PROPER(Table1[[#This Row],[Department]])</f>
        <v>It Devlopement</v>
      </c>
      <c r="G25" t="s">
        <v>55</v>
      </c>
      <c r="H25" s="7" t="str">
        <f>_xlfn.CONCAT("91",Table1[[#This Row],[Phone]])</f>
        <v>91-7777777686</v>
      </c>
      <c r="I25">
        <f>91-7777777777</f>
        <v>-7777777686</v>
      </c>
      <c r="J25" s="7" t="str">
        <f>_xlfn.CONCAT(LEFT(Table1[[#This Row],[Concat]],2),"xxxxx")</f>
        <v>91xxxxx</v>
      </c>
      <c r="K25" t="s">
        <v>56</v>
      </c>
      <c r="L25">
        <v>11342</v>
      </c>
    </row>
    <row r="26" spans="1:12" x14ac:dyDescent="0.25">
      <c r="A26">
        <v>30</v>
      </c>
      <c r="B26" s="3" t="str">
        <f>LEFT(Table1[[#This Row],[Email]],FIND("@",Table1[[#This Row],[Email]])-1)</f>
        <v>ankit.singh</v>
      </c>
      <c r="C26">
        <v>29</v>
      </c>
      <c r="D26" t="s">
        <v>7</v>
      </c>
      <c r="E26" t="s">
        <v>120</v>
      </c>
      <c r="F26" t="str">
        <f>PROPER(Table1[[#This Row],[Department]])</f>
        <v>Sales</v>
      </c>
      <c r="G26" t="s">
        <v>57</v>
      </c>
      <c r="H26" s="7" t="str">
        <f>_xlfn.CONCAT("91",Table1[[#This Row],[Phone]])</f>
        <v>91</v>
      </c>
      <c r="J26" s="7" t="str">
        <f>_xlfn.CONCAT(LEFT(Table1[[#This Row],[Concat]],2),"xxxxx")</f>
        <v>91xxxxx</v>
      </c>
      <c r="K26" t="s">
        <v>58</v>
      </c>
      <c r="L26">
        <v>40940</v>
      </c>
    </row>
    <row r="27" spans="1:12" x14ac:dyDescent="0.25">
      <c r="A27">
        <v>31</v>
      </c>
      <c r="B27" t="s">
        <v>40</v>
      </c>
      <c r="C27">
        <v>27</v>
      </c>
      <c r="D27" t="s">
        <v>8</v>
      </c>
      <c r="E27" t="s">
        <v>121</v>
      </c>
      <c r="F27" t="str">
        <f>PROPER(Table1[[#This Row],[Department]])</f>
        <v>Sles</v>
      </c>
      <c r="G27" t="s">
        <v>59</v>
      </c>
      <c r="H27" s="7" t="str">
        <f>_xlfn.CONCAT("91",Table1[[#This Row],[Phone]])</f>
        <v>91-5555555464</v>
      </c>
      <c r="I27">
        <f>91-5555555555</f>
        <v>-5555555464</v>
      </c>
      <c r="J27" s="7" t="str">
        <f>_xlfn.CONCAT(LEFT(Table1[[#This Row],[Concat]],2),"xxxxx")</f>
        <v>91xxxxx</v>
      </c>
      <c r="K27" s="7" t="s">
        <v>138</v>
      </c>
      <c r="L27">
        <v>41841</v>
      </c>
    </row>
    <row r="28" spans="1:12" x14ac:dyDescent="0.25">
      <c r="A28">
        <v>32</v>
      </c>
      <c r="B28" t="s">
        <v>60</v>
      </c>
      <c r="C28">
        <v>32</v>
      </c>
      <c r="D28" t="s">
        <v>7</v>
      </c>
      <c r="E28" t="s">
        <v>129</v>
      </c>
      <c r="F28" t="str">
        <f>PROPER(Table1[[#This Row],[Department]])</f>
        <v>Finance/Accounts</v>
      </c>
      <c r="G28" t="s">
        <v>61</v>
      </c>
      <c r="H28" s="7" t="str">
        <f>_xlfn.CONCAT("91",Table1[[#This Row],[Phone]])</f>
        <v>91</v>
      </c>
      <c r="J28" s="7" t="str">
        <f>_xlfn.CONCAT(LEFT(Table1[[#This Row],[Concat]],2),"xxxxx")</f>
        <v>91xxxxx</v>
      </c>
      <c r="K28" t="s">
        <v>62</v>
      </c>
      <c r="L28">
        <v>39835</v>
      </c>
    </row>
    <row r="29" spans="1:12" x14ac:dyDescent="0.25">
      <c r="A29">
        <v>33</v>
      </c>
      <c r="B29" s="3" t="str">
        <f>LEFT(Table1[[#This Row],[Email]],FIND("@",Table1[[#This Row],[Email]])-1)</f>
        <v>sarika.patel</v>
      </c>
      <c r="C29">
        <v>33</v>
      </c>
      <c r="D29" t="s">
        <v>8</v>
      </c>
      <c r="E29" t="s">
        <v>130</v>
      </c>
      <c r="F29" t="str">
        <f>PROPER(Table1[[#This Row],[Department]])</f>
        <v>Mangement</v>
      </c>
      <c r="G29" t="s">
        <v>63</v>
      </c>
      <c r="H29" s="7" t="str">
        <f>_xlfn.CONCAT("91",Table1[[#This Row],[Phone]])</f>
        <v>91-6666666575</v>
      </c>
      <c r="I29">
        <f>91-6666666666</f>
        <v>-6666666575</v>
      </c>
      <c r="J29" s="7" t="str">
        <f>_xlfn.CONCAT(LEFT(Table1[[#This Row],[Concat]],2),"xxxxx")</f>
        <v>91xxxxx</v>
      </c>
      <c r="K29" t="s">
        <v>64</v>
      </c>
      <c r="L29">
        <v>9577</v>
      </c>
    </row>
    <row r="30" spans="1:12" x14ac:dyDescent="0.25">
      <c r="A30">
        <v>34</v>
      </c>
      <c r="B30" t="s">
        <v>65</v>
      </c>
      <c r="C30">
        <v>30</v>
      </c>
      <c r="D30" t="s">
        <v>7</v>
      </c>
      <c r="E30" t="s">
        <v>131</v>
      </c>
      <c r="F30" t="str">
        <f>PROPER(Table1[[#This Row],[Department]])</f>
        <v>Data Science</v>
      </c>
      <c r="G30" t="s">
        <v>66</v>
      </c>
      <c r="H30" s="7" t="str">
        <f>_xlfn.CONCAT("91",Table1[[#This Row],[Phone]])</f>
        <v>91</v>
      </c>
      <c r="J30" s="7" t="str">
        <f>_xlfn.CONCAT(LEFT(Table1[[#This Row],[Concat]],2),"xxxxx")</f>
        <v>91xxxxx</v>
      </c>
      <c r="K30" t="s">
        <v>67</v>
      </c>
      <c r="L30">
        <v>29480</v>
      </c>
    </row>
    <row r="31" spans="1:12" ht="15.75" x14ac:dyDescent="0.25">
      <c r="A31">
        <v>35</v>
      </c>
      <c r="B31" t="s">
        <v>68</v>
      </c>
      <c r="C31" s="2">
        <v>29.5</v>
      </c>
      <c r="D31" t="s">
        <v>8</v>
      </c>
      <c r="E31" t="s">
        <v>119</v>
      </c>
      <c r="F31" t="str">
        <f>PROPER(Table1[[#This Row],[Department]])</f>
        <v>It Devlopement</v>
      </c>
      <c r="G31" t="s">
        <v>69</v>
      </c>
      <c r="H31" s="7" t="str">
        <f>_xlfn.CONCAT("91",Table1[[#This Row],[Phone]])</f>
        <v>91-5555555464</v>
      </c>
      <c r="I31">
        <f>91-5555555555</f>
        <v>-5555555464</v>
      </c>
      <c r="J31" s="7" t="str">
        <f>_xlfn.CONCAT(LEFT(Table1[[#This Row],[Concat]],2),"xxxxx")</f>
        <v>91xxxxx</v>
      </c>
      <c r="K31" t="s">
        <v>70</v>
      </c>
      <c r="L31">
        <v>14254</v>
      </c>
    </row>
    <row r="32" spans="1:12" x14ac:dyDescent="0.25">
      <c r="A32">
        <v>36</v>
      </c>
      <c r="B32" t="s">
        <v>71</v>
      </c>
      <c r="C32">
        <v>29</v>
      </c>
      <c r="D32" t="s">
        <v>7</v>
      </c>
      <c r="E32" t="s">
        <v>120</v>
      </c>
      <c r="F32" t="str">
        <f>PROPER(Table1[[#This Row],[Department]])</f>
        <v>Sales</v>
      </c>
      <c r="G32" t="s">
        <v>72</v>
      </c>
      <c r="H32" s="7" t="str">
        <f>_xlfn.CONCAT("91",Table1[[#This Row],[Phone]])</f>
        <v>91-7777777686</v>
      </c>
      <c r="I32">
        <f>91-7777777777</f>
        <v>-7777777686</v>
      </c>
      <c r="J32" s="7" t="str">
        <f>_xlfn.CONCAT(LEFT(Table1[[#This Row],[Concat]],2),"xxxxx")</f>
        <v>91xxxxx</v>
      </c>
      <c r="K32" t="s">
        <v>73</v>
      </c>
      <c r="L32">
        <v>37358</v>
      </c>
    </row>
    <row r="33" spans="1:12" x14ac:dyDescent="0.25">
      <c r="A33">
        <v>37</v>
      </c>
      <c r="B33" s="3" t="str">
        <f>LEFT(Table1[[#This Row],[Email]],FIND("@",Table1[[#This Row],[Email]])-1)</f>
        <v>payal.sharma</v>
      </c>
      <c r="C33">
        <v>31</v>
      </c>
      <c r="D33" t="s">
        <v>8</v>
      </c>
      <c r="E33" t="s">
        <v>121</v>
      </c>
      <c r="F33" t="s">
        <v>127</v>
      </c>
      <c r="G33" t="s">
        <v>74</v>
      </c>
      <c r="H33" s="7" t="str">
        <f>_xlfn.CONCAT("91",Table1[[#This Row],[Phone]])</f>
        <v>91</v>
      </c>
      <c r="J33" s="7" t="str">
        <f>_xlfn.CONCAT(LEFT(Table1[[#This Row],[Concat]],2),"xxxxx")</f>
        <v>91xxxxx</v>
      </c>
      <c r="K33" t="s">
        <v>75</v>
      </c>
      <c r="L33">
        <v>48367</v>
      </c>
    </row>
    <row r="34" spans="1:12" x14ac:dyDescent="0.25">
      <c r="A34">
        <v>38</v>
      </c>
      <c r="B34" t="s">
        <v>76</v>
      </c>
      <c r="C34">
        <v>28</v>
      </c>
      <c r="D34" t="s">
        <v>7</v>
      </c>
      <c r="E34" t="s">
        <v>122</v>
      </c>
      <c r="F34" t="str">
        <f>PROPER(Table1[[#This Row],[Department]])</f>
        <v>Hr</v>
      </c>
      <c r="G34" t="s">
        <v>77</v>
      </c>
      <c r="H34" s="7" t="str">
        <f>_xlfn.CONCAT("91",Table1[[#This Row],[Phone]])</f>
        <v>91-8888888797</v>
      </c>
      <c r="I34">
        <f>91-8888888888</f>
        <v>-8888888797</v>
      </c>
      <c r="J34" s="7" t="str">
        <f>_xlfn.CONCAT(LEFT(Table1[[#This Row],[Concat]],2),"xxxxx")</f>
        <v>91xxxxx</v>
      </c>
      <c r="K34" t="s">
        <v>78</v>
      </c>
      <c r="L34">
        <v>37473</v>
      </c>
    </row>
    <row r="35" spans="1:12" x14ac:dyDescent="0.25">
      <c r="A35">
        <v>39</v>
      </c>
      <c r="B35" t="s">
        <v>79</v>
      </c>
      <c r="C35">
        <v>33</v>
      </c>
      <c r="D35" t="s">
        <v>8</v>
      </c>
      <c r="E35" t="s">
        <v>123</v>
      </c>
      <c r="F35" t="str">
        <f>PROPER(Table1[[#This Row],[Department]])</f>
        <v>Hr</v>
      </c>
      <c r="G35" t="s">
        <v>80</v>
      </c>
      <c r="H35" s="7" t="str">
        <f>_xlfn.CONCAT("91",Table1[[#This Row],[Phone]])</f>
        <v>91-9999999908</v>
      </c>
      <c r="I35">
        <f>91-9999999999</f>
        <v>-9999999908</v>
      </c>
      <c r="J35" s="7" t="str">
        <f>_xlfn.CONCAT(LEFT(Table1[[#This Row],[Concat]],2),"xxxxx")</f>
        <v>91xxxxx</v>
      </c>
      <c r="K35" t="s">
        <v>81</v>
      </c>
      <c r="L35">
        <v>30628</v>
      </c>
    </row>
    <row r="36" spans="1:12" x14ac:dyDescent="0.25">
      <c r="A36">
        <v>40</v>
      </c>
      <c r="B36" t="s">
        <v>82</v>
      </c>
      <c r="C36">
        <v>30</v>
      </c>
      <c r="D36" t="s">
        <v>7</v>
      </c>
      <c r="E36" t="s">
        <v>124</v>
      </c>
      <c r="F36" t="str">
        <f>PROPER(Table1[[#This Row],[Department]])</f>
        <v>Operaryion</v>
      </c>
      <c r="G36" t="s">
        <v>83</v>
      </c>
      <c r="H36" s="7" t="str">
        <f>_xlfn.CONCAT("91",Table1[[#This Row],[Phone]])</f>
        <v>91</v>
      </c>
      <c r="J36" s="7" t="str">
        <f>_xlfn.CONCAT(LEFT(Table1[[#This Row],[Concat]],2),"xxxxx")</f>
        <v>91xxxxx</v>
      </c>
      <c r="K36" t="s">
        <v>84</v>
      </c>
      <c r="L36">
        <v>22018</v>
      </c>
    </row>
    <row r="37" spans="1:12" x14ac:dyDescent="0.25">
      <c r="A37">
        <v>41</v>
      </c>
      <c r="B37" t="s">
        <v>85</v>
      </c>
      <c r="C37">
        <v>27</v>
      </c>
      <c r="D37" t="s">
        <v>8</v>
      </c>
      <c r="E37" t="s">
        <v>132</v>
      </c>
      <c r="F37" t="str">
        <f>PROPER(Table1[[#This Row],[Department]])</f>
        <v>Data Science</v>
      </c>
      <c r="G37" t="s">
        <v>86</v>
      </c>
      <c r="H37" s="7" t="str">
        <f>_xlfn.CONCAT("91",Table1[[#This Row],[Phone]])</f>
        <v>91-7777777686</v>
      </c>
      <c r="I37">
        <f>91-7777777777</f>
        <v>-7777777686</v>
      </c>
      <c r="J37" s="7" t="str">
        <f>_xlfn.CONCAT(LEFT(Table1[[#This Row],[Concat]],2),"xxxxx")</f>
        <v>91xxxxx</v>
      </c>
      <c r="K37" t="s">
        <v>87</v>
      </c>
      <c r="L37">
        <v>35747</v>
      </c>
    </row>
    <row r="38" spans="1:12" x14ac:dyDescent="0.25">
      <c r="A38">
        <v>42</v>
      </c>
      <c r="B38" t="s">
        <v>88</v>
      </c>
      <c r="C38">
        <v>29</v>
      </c>
      <c r="D38" t="s">
        <v>7</v>
      </c>
      <c r="E38" t="s">
        <v>121</v>
      </c>
      <c r="F38" t="str">
        <f>PROPER(Table1[[#This Row],[Department]])</f>
        <v>Sles</v>
      </c>
      <c r="G38" t="s">
        <v>89</v>
      </c>
      <c r="H38" s="7" t="str">
        <f>_xlfn.CONCAT("91",Table1[[#This Row],[Phone]])</f>
        <v>91</v>
      </c>
      <c r="J38" s="7" t="str">
        <f>_xlfn.CONCAT(LEFT(Table1[[#This Row],[Concat]],2),"xxxxx")</f>
        <v>91xxxxx</v>
      </c>
      <c r="K38" t="s">
        <v>90</v>
      </c>
      <c r="L38">
        <v>32258</v>
      </c>
    </row>
    <row r="39" spans="1:12" x14ac:dyDescent="0.25">
      <c r="A39">
        <v>43</v>
      </c>
      <c r="B39" t="s">
        <v>91</v>
      </c>
      <c r="C39">
        <v>26</v>
      </c>
      <c r="D39" t="s">
        <v>8</v>
      </c>
      <c r="E39" t="s">
        <v>129</v>
      </c>
      <c r="F39" t="str">
        <f>PROPER(Table1[[#This Row],[Department]])</f>
        <v>Finance/Accounts</v>
      </c>
      <c r="G39" t="s">
        <v>92</v>
      </c>
      <c r="H39" s="7" t="str">
        <f>_xlfn.CONCAT("91",Table1[[#This Row],[Phone]])</f>
        <v>91-5555555464</v>
      </c>
      <c r="I39">
        <f>91-5555555555</f>
        <v>-5555555464</v>
      </c>
      <c r="J39" s="7" t="str">
        <f>_xlfn.CONCAT(LEFT(Table1[[#This Row],[Concat]],2),"xxxxx")</f>
        <v>91xxxxx</v>
      </c>
      <c r="K39" t="s">
        <v>93</v>
      </c>
      <c r="L39">
        <v>31047</v>
      </c>
    </row>
    <row r="40" spans="1:12" x14ac:dyDescent="0.25">
      <c r="A40">
        <v>44</v>
      </c>
      <c r="B40" s="3" t="str">
        <f>LEFT(Table1[[#This Row],[Email]],FIND("@",Table1[[#This Row],[Email]])-1)</f>
        <v>mukesh.sharma</v>
      </c>
      <c r="C40">
        <v>28</v>
      </c>
      <c r="D40" t="s">
        <v>7</v>
      </c>
      <c r="E40" t="s">
        <v>130</v>
      </c>
      <c r="F40" t="str">
        <f>PROPER(Table1[[#This Row],[Department]])</f>
        <v>Mangement</v>
      </c>
      <c r="G40" t="s">
        <v>94</v>
      </c>
      <c r="H40" s="7" t="str">
        <f>_xlfn.CONCAT("91",Table1[[#This Row],[Phone]])</f>
        <v>91</v>
      </c>
      <c r="J40" s="7" t="str">
        <f>_xlfn.CONCAT(LEFT(Table1[[#This Row],[Concat]],2),"xxxxx")</f>
        <v>91xxxxx</v>
      </c>
      <c r="K40" t="s">
        <v>95</v>
      </c>
      <c r="L40">
        <v>31064</v>
      </c>
    </row>
    <row r="41" spans="1:12" x14ac:dyDescent="0.25">
      <c r="A41">
        <v>45</v>
      </c>
      <c r="B41" t="s">
        <v>96</v>
      </c>
      <c r="C41">
        <v>31</v>
      </c>
      <c r="D41" t="s">
        <v>7</v>
      </c>
      <c r="E41" t="s">
        <v>131</v>
      </c>
      <c r="F41" t="str">
        <f>PROPER(Table1[[#This Row],[Department]])</f>
        <v>Data Science</v>
      </c>
      <c r="G41" t="s">
        <v>97</v>
      </c>
      <c r="H41" s="7" t="str">
        <f>_xlfn.CONCAT("91",Table1[[#This Row],[Phone]])</f>
        <v>91-8888888797</v>
      </c>
      <c r="I41">
        <f>91-8888888888</f>
        <v>-8888888797</v>
      </c>
      <c r="J41" s="7" t="str">
        <f>_xlfn.CONCAT(LEFT(Table1[[#This Row],[Concat]],2),"xxxxx")</f>
        <v>91xxxxx</v>
      </c>
      <c r="K41" s="7" t="s">
        <v>138</v>
      </c>
      <c r="L41">
        <v>3108</v>
      </c>
    </row>
    <row r="42" spans="1:12" x14ac:dyDescent="0.25">
      <c r="A42">
        <v>46</v>
      </c>
      <c r="B42" t="s">
        <v>98</v>
      </c>
      <c r="C42">
        <v>27</v>
      </c>
      <c r="D42" t="s">
        <v>8</v>
      </c>
      <c r="E42" t="s">
        <v>122</v>
      </c>
      <c r="F42" t="s">
        <v>128</v>
      </c>
      <c r="G42" t="s">
        <v>99</v>
      </c>
      <c r="H42" s="7" t="str">
        <f>_xlfn.CONCAT("91",Table1[[#This Row],[Phone]])</f>
        <v>91-7777777686</v>
      </c>
      <c r="I42">
        <f>91-7777777777</f>
        <v>-7777777686</v>
      </c>
      <c r="J42" s="7" t="str">
        <f>_xlfn.CONCAT(LEFT(Table1[[#This Row],[Concat]],2),"xxxxx")</f>
        <v>91xxxxx</v>
      </c>
      <c r="K42" t="s">
        <v>100</v>
      </c>
      <c r="L42">
        <v>20205</v>
      </c>
    </row>
    <row r="43" spans="1:12" x14ac:dyDescent="0.25">
      <c r="A43">
        <v>47</v>
      </c>
      <c r="B43" s="3" t="str">
        <f>LEFT(Table1[[#This Row],[Email]],FIND("@",Table1[[#This Row],[Email]])-1)</f>
        <v>gaurav.kumar</v>
      </c>
      <c r="C43">
        <v>29</v>
      </c>
      <c r="D43" t="s">
        <v>7</v>
      </c>
      <c r="E43" t="s">
        <v>123</v>
      </c>
      <c r="F43" t="s">
        <v>128</v>
      </c>
      <c r="G43" t="s">
        <v>101</v>
      </c>
      <c r="H43" s="7" t="str">
        <f>_xlfn.CONCAT("91",Table1[[#This Row],[Phone]])</f>
        <v>91</v>
      </c>
      <c r="J43" s="7" t="str">
        <f>_xlfn.CONCAT(LEFT(Table1[[#This Row],[Concat]],2),"xxxxx")</f>
        <v>91xxxxx</v>
      </c>
      <c r="K43" t="s">
        <v>102</v>
      </c>
      <c r="L43">
        <v>8746</v>
      </c>
    </row>
    <row r="44" spans="1:12" x14ac:dyDescent="0.25">
      <c r="A44">
        <v>48</v>
      </c>
      <c r="B44" t="s">
        <v>103</v>
      </c>
      <c r="C44">
        <v>32</v>
      </c>
      <c r="D44" t="s">
        <v>8</v>
      </c>
      <c r="E44" t="s">
        <v>119</v>
      </c>
      <c r="F44" t="str">
        <f>PROPER(Table1[[#This Row],[Department]])</f>
        <v>It Devlopement</v>
      </c>
      <c r="G44" t="s">
        <v>104</v>
      </c>
      <c r="H44" s="7" t="str">
        <f>_xlfn.CONCAT("91",Table1[[#This Row],[Phone]])</f>
        <v>91-6666666575</v>
      </c>
      <c r="I44">
        <f>91-6666666666</f>
        <v>-6666666575</v>
      </c>
      <c r="J44" s="7" t="str">
        <f>_xlfn.CONCAT(LEFT(Table1[[#This Row],[Concat]],2),"xxxxx")</f>
        <v>91xxxxx</v>
      </c>
      <c r="K44" t="s">
        <v>105</v>
      </c>
      <c r="L44">
        <v>15531</v>
      </c>
    </row>
    <row r="45" spans="1:12" ht="15.75" x14ac:dyDescent="0.25">
      <c r="A45">
        <v>49</v>
      </c>
      <c r="B45" t="s">
        <v>106</v>
      </c>
      <c r="C45" s="2">
        <v>29.5</v>
      </c>
      <c r="D45" t="s">
        <v>7</v>
      </c>
      <c r="E45" t="s">
        <v>120</v>
      </c>
      <c r="F45" t="str">
        <f>PROPER(Table1[[#This Row],[Department]])</f>
        <v>Sales</v>
      </c>
      <c r="G45" t="s">
        <v>107</v>
      </c>
      <c r="H45" s="7" t="str">
        <f>_xlfn.CONCAT("91",Table1[[#This Row],[Phone]])</f>
        <v>91-5555555464</v>
      </c>
      <c r="I45">
        <f>91-5555555555</f>
        <v>-5555555464</v>
      </c>
      <c r="J45" s="7" t="str">
        <f>_xlfn.CONCAT(LEFT(Table1[[#This Row],[Concat]],2),"xxxxx")</f>
        <v>91xxxxx</v>
      </c>
      <c r="K45" t="s">
        <v>108</v>
      </c>
      <c r="L45">
        <v>23055</v>
      </c>
    </row>
    <row r="46" spans="1:12" x14ac:dyDescent="0.25">
      <c r="A46">
        <v>50</v>
      </c>
      <c r="B46" t="s">
        <v>109</v>
      </c>
      <c r="C46">
        <v>30</v>
      </c>
      <c r="D46" t="s">
        <v>8</v>
      </c>
      <c r="E46" t="s">
        <v>121</v>
      </c>
      <c r="F46" t="s">
        <v>127</v>
      </c>
      <c r="G46" t="s">
        <v>110</v>
      </c>
      <c r="H46" s="7" t="str">
        <f>_xlfn.CONCAT("91",Table1[[#This Row],[Phone]])</f>
        <v>91</v>
      </c>
      <c r="J46" s="7" t="str">
        <f>_xlfn.CONCAT(LEFT(Table1[[#This Row],[Concat]],2),"xxxxx")</f>
        <v>91xxxxx</v>
      </c>
      <c r="K46" t="s">
        <v>111</v>
      </c>
      <c r="L46">
        <v>18647</v>
      </c>
    </row>
  </sheetData>
  <conditionalFormatting sqref="L8:L46">
    <cfRule type="top10" dxfId="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Abhishek Munday</cp:lastModifiedBy>
  <dcterms:created xsi:type="dcterms:W3CDTF">2023-04-26T07:21:03Z</dcterms:created>
  <dcterms:modified xsi:type="dcterms:W3CDTF">2024-06-06T09:48:57Z</dcterms:modified>
</cp:coreProperties>
</file>